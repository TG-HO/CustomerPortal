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taza.ali\Desktop\Master Data\"/>
    </mc:Choice>
  </mc:AlternateContent>
  <xr:revisionPtr revIDLastSave="0" documentId="8_{8D1147D6-0E57-471E-86B6-0D6462C1462B}" xr6:coauthVersionLast="47" xr6:coauthVersionMax="47" xr10:uidLastSave="{00000000-0000-0000-0000-000000000000}"/>
  <bookViews>
    <workbookView xWindow="-120" yWindow="-120" windowWidth="20730" windowHeight="11310" xr2:uid="{A99C77E7-1A8E-49D1-AF89-C905E2156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7" i="1" l="1"/>
  <c r="E26" i="1"/>
  <c r="E25" i="1"/>
  <c r="E24" i="1"/>
  <c r="E23" i="1"/>
  <c r="E22" i="1"/>
  <c r="E21" i="1"/>
  <c r="E20" i="1"/>
</calcChain>
</file>

<file path=xl/sharedStrings.xml><?xml version="1.0" encoding="utf-8"?>
<sst xmlns="http://schemas.openxmlformats.org/spreadsheetml/2006/main" count="129" uniqueCount="79">
  <si>
    <t>Product Description</t>
  </si>
  <si>
    <t>Brand</t>
  </si>
  <si>
    <t>SKU Size (L)</t>
  </si>
  <si>
    <t>Carton Size (Pcs)</t>
  </si>
  <si>
    <t>Retail Price / Pack</t>
  </si>
  <si>
    <t>Helix HX3 20W-50 12*1L</t>
  </si>
  <si>
    <t>Shell</t>
  </si>
  <si>
    <t>Helix HX3 20W-50 4*3L</t>
  </si>
  <si>
    <t>Helix HX3 20W-50 4*4L</t>
  </si>
  <si>
    <t>Helix HX6 10W-40 4*3L</t>
  </si>
  <si>
    <t>Helix HX6 10W-40 4*4L</t>
  </si>
  <si>
    <t>Helix HX7 Plus 5W-30 4*3L</t>
  </si>
  <si>
    <t>Helix HX7 Plus 5W-30 4*4L</t>
  </si>
  <si>
    <t>Helix Ultra 5W-40 4*4L</t>
  </si>
  <si>
    <t>Helix Ultra 5W-40 4*3 L</t>
  </si>
  <si>
    <t>Helix Ultra SN 5W-20 4*4L</t>
  </si>
  <si>
    <t>Havoline Formula SAE 10W 30 - 3L</t>
  </si>
  <si>
    <t>Chevron</t>
  </si>
  <si>
    <t>Havoline Formula SAE 10W 30 - 4L</t>
  </si>
  <si>
    <t>Havoline Motor Oil SAE 20W-50 - 1L</t>
  </si>
  <si>
    <t>Havoline Motor Oil SAE 20W-50 - 3L</t>
  </si>
  <si>
    <t>Havoline Motor Oil SAE 20W-50 - 4L</t>
  </si>
  <si>
    <t>Havoline Motor Oil Extra 10W-40 - 3L</t>
  </si>
  <si>
    <t>Havoline Motor Oil Extra 10W-40 - 4L</t>
  </si>
  <si>
    <t>ZIC X7 FE 0W-20 - 3L</t>
  </si>
  <si>
    <t>ZIC</t>
  </si>
  <si>
    <t>ZIC X7 FE 0W-20 - 4L</t>
  </si>
  <si>
    <t>ZIC X7 FE 5W-20 - 3L</t>
  </si>
  <si>
    <t>ZIC X7 FE 5W-20 - 4L</t>
  </si>
  <si>
    <t>ZIC X7 10W-40 - 3L</t>
  </si>
  <si>
    <t>ZIC X7 10W-40 - 4L</t>
  </si>
  <si>
    <t>ZIC X5 20W-50 - 3L</t>
  </si>
  <si>
    <t>ZIC X5 20W-50 - 4L</t>
  </si>
  <si>
    <t>Toyota Petron SL/CF 20W50 - 4L</t>
  </si>
  <si>
    <t>Toyota</t>
  </si>
  <si>
    <t>Toyota Petron Plus SM 10W30 - 3L</t>
  </si>
  <si>
    <t>Toyota Petron Plus SM 10W30 - 4L</t>
  </si>
  <si>
    <t>Toyota Taglon X SN 5W30 - 4L</t>
  </si>
  <si>
    <t>Toyota Taglon SN 5W50 - 4L</t>
  </si>
  <si>
    <t>Advance SX 2 (FB/EGB) 12*0.7L</t>
  </si>
  <si>
    <t>Advance 4T AX3 20W-50 (SG/MA) 12*0.7L</t>
  </si>
  <si>
    <t>Advance 4T AX3 20W-50 (SG/MA) 12*1L</t>
  </si>
  <si>
    <t>Advance 4T AX5 20W-40 (SL/MA) 12*1L</t>
  </si>
  <si>
    <t>Havoline Super 4T MCO 20W-50 - 0.7L</t>
  </si>
  <si>
    <t>Havoline Super 4T MCO 20W-50 - 1L</t>
  </si>
  <si>
    <t>Havoline 4T MCO SAE 20W-40 - 0.7L</t>
  </si>
  <si>
    <t>Havoline 4T MCO SAE 20W-40 - 1L</t>
  </si>
  <si>
    <t>Blaze 4T - 0.7L</t>
  </si>
  <si>
    <t>PSO</t>
  </si>
  <si>
    <t>Shell Rimula R1 50 12*1L</t>
  </si>
  <si>
    <t>Shell Rimula R1 50 4*4L</t>
  </si>
  <si>
    <t>Shell Rimula R1 50 2*10L</t>
  </si>
  <si>
    <t>Shell Rimula R2 Extra 20W-50 12*1L</t>
  </si>
  <si>
    <t>Shell Rimula R2 Extra 20W-50 4*4L</t>
  </si>
  <si>
    <t>Shell Rimula R2 Extra 20W-50 2*10L</t>
  </si>
  <si>
    <t>Delo Gold Ultra 15W-40 - 4L</t>
  </si>
  <si>
    <t>Delo Gold Ultra 15W-40 - 10L</t>
  </si>
  <si>
    <t>Delo Silver Multi Grade 20W-50 - 4L</t>
  </si>
  <si>
    <t>Delo Silver Multi Grade 20W-50 - 10L</t>
  </si>
  <si>
    <t>Delo Silver Mono SAE-40 - 4L</t>
  </si>
  <si>
    <t>Delo Silver Mono SAE-40 - 10L</t>
  </si>
  <si>
    <t>Delo MGX 400 15W40 - 4L</t>
  </si>
  <si>
    <t>Delo MGX 400 15W40 - 10L</t>
  </si>
  <si>
    <t>Toyota Dezon CF4 20W50 - 3L</t>
  </si>
  <si>
    <t>Toyota Dezon CF4 20W50 - 4L</t>
  </si>
  <si>
    <t>Loose Oil</t>
  </si>
  <si>
    <t>Local</t>
  </si>
  <si>
    <t>Site Purchase Price</t>
  </si>
  <si>
    <t>Available Margin</t>
  </si>
  <si>
    <t>Staff Incentive (Rs. 15 / Ltr)</t>
  </si>
  <si>
    <t>Net Margin</t>
  </si>
  <si>
    <t>Site Margin</t>
  </si>
  <si>
    <t>Customer Discount</t>
  </si>
  <si>
    <t>Taj Selling Price</t>
  </si>
  <si>
    <t>-</t>
  </si>
  <si>
    <t>450 / Ltr</t>
  </si>
  <si>
    <t>Passenger Car Motor Oil</t>
  </si>
  <si>
    <t>Motorcycle Oil</t>
  </si>
  <si>
    <t>Diesel Engine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</si>
</sst>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1" xfId="1" applyNumberFormat="1" applyFont="1" applyFill="1" applyBorder="1" applyAlignment="1">
      <alignment horizontal="center"/>
    </xf>
    <xf numFmtId="2" fontId="4" fillId="0" borderId="1" xfId="3" applyNumberFormat="1" applyFont="1" applyBorder="1" applyAlignment="1">
      <alignment horizontal="center"/>
    </xf>
    <xf numFmtId="1" fontId="4" fillId="0" borderId="1" xfId="3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 wrapText="1"/>
    </xf>
    <xf numFmtId="49" fontId="5" fillId="0" borderId="1" xfId="0" applyNumberFormat="1" applyFont="1" applyBorder="1" applyAlignment="1">
      <alignment horizontal="left"/>
    </xf>
    <xf numFmtId="2" fontId="4" fillId="0" borderId="1" xfId="0" applyNumberFormat="1" applyFont="1" applyBorder="1"/>
    <xf numFmtId="0" fontId="5" fillId="0" borderId="0" xfId="0" applyFont="1"/>
    <xf numFmtId="3" fontId="5" fillId="0" borderId="0" xfId="0" applyNumberFormat="1" applyFont="1"/>
    <xf numFmtId="3" fontId="6" fillId="0" borderId="0" xfId="0" applyNumberFormat="1" applyFont="1"/>
    <xf numFmtId="0" fontId="5" fillId="3" borderId="2" xfId="0" applyFont="1" applyFill="1" applyBorder="1" applyAlignment="1">
      <alignment horizontal="center"/>
    </xf>
  </cellXfs>
  <cellStyles count="4">
    <cellStyle name="Comma" xfId="1" builtinId="3"/>
    <cellStyle name="Comma 2" xfId="2" xr:uid="{D7F78C55-748F-4683-AF51-E288A5859D79}"/>
    <cellStyle name="Normal" xfId="0" builtinId="0"/>
    <cellStyle name="Style 1" xfId="3" xr:uid="{1AF559D4-72FD-4D68-880B-85458BDCB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9760E-BD10-4CC4-BC9D-0A1B2447CF58}">
  <dimension ref="A1:L67"/>
  <sheetViews>
    <sheetView tabSelected="1" topLeftCell="A19" workbookViewId="0">
      <selection activeCell="A43" sqref="A43:L43"/>
    </sheetView>
  </sheetViews>
  <sheetFormatPr defaultRowHeight="12.75" x14ac:dyDescent="0.2"/>
  <cols>
    <col min="1" max="1" width="33.85546875" style="12" bestFit="1" customWidth="1"/>
    <col min="2" max="2" width="7.28515625" style="12" customWidth="1"/>
    <col min="3" max="3" width="11.85546875" style="12" customWidth="1"/>
    <col min="4" max="4" width="11.42578125" style="12" customWidth="1"/>
    <col min="5" max="5" width="13.140625" style="12" customWidth="1"/>
    <col min="6" max="16384" width="9.140625" style="12"/>
  </cols>
  <sheetData>
    <row r="1" spans="1:12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2">
      <c r="A2" s="15" t="s">
        <v>76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2">
      <c r="A3" s="2" t="s">
        <v>5</v>
      </c>
      <c r="B3" s="2" t="s">
        <v>6</v>
      </c>
      <c r="C3" s="3">
        <v>1</v>
      </c>
      <c r="D3" s="4">
        <v>12</v>
      </c>
      <c r="E3" s="5">
        <v>1169</v>
      </c>
      <c r="F3" s="5">
        <v>1075.4479999999999</v>
      </c>
      <c r="G3" s="5">
        <v>93.552000000000135</v>
      </c>
      <c r="H3" s="5">
        <v>15</v>
      </c>
      <c r="I3" s="5">
        <v>78.552000000000135</v>
      </c>
      <c r="J3" s="5">
        <v>40</v>
      </c>
      <c r="K3" s="5">
        <v>38.552000000000135</v>
      </c>
      <c r="L3" s="5">
        <v>1130.4479999999999</v>
      </c>
    </row>
    <row r="4" spans="1:12" x14ac:dyDescent="0.2">
      <c r="A4" s="2" t="s">
        <v>7</v>
      </c>
      <c r="B4" s="2" t="s">
        <v>6</v>
      </c>
      <c r="C4" s="3">
        <v>3</v>
      </c>
      <c r="D4" s="4">
        <v>4</v>
      </c>
      <c r="E4" s="5">
        <v>3406</v>
      </c>
      <c r="F4" s="5">
        <v>3129.68048</v>
      </c>
      <c r="G4" s="5">
        <v>276.31952000000001</v>
      </c>
      <c r="H4" s="5">
        <v>45</v>
      </c>
      <c r="I4" s="5">
        <v>231.31952000000001</v>
      </c>
      <c r="J4" s="5">
        <v>125</v>
      </c>
      <c r="K4" s="5">
        <v>106.31952000000001</v>
      </c>
      <c r="L4" s="5">
        <v>3299.68048</v>
      </c>
    </row>
    <row r="5" spans="1:12" x14ac:dyDescent="0.2">
      <c r="A5" s="2" t="s">
        <v>8</v>
      </c>
      <c r="B5" s="2" t="s">
        <v>6</v>
      </c>
      <c r="C5" s="3">
        <v>4</v>
      </c>
      <c r="D5" s="4">
        <v>4</v>
      </c>
      <c r="E5" s="5">
        <v>4555</v>
      </c>
      <c r="F5" s="5">
        <v>4185.7161599999999</v>
      </c>
      <c r="G5" s="5">
        <v>369.28384000000005</v>
      </c>
      <c r="H5" s="5">
        <v>60</v>
      </c>
      <c r="I5" s="5">
        <v>309.28384000000005</v>
      </c>
      <c r="J5" s="5">
        <v>154</v>
      </c>
      <c r="K5" s="5">
        <v>155.28384000000005</v>
      </c>
      <c r="L5" s="5">
        <v>4399.7161599999999</v>
      </c>
    </row>
    <row r="6" spans="1:12" x14ac:dyDescent="0.2">
      <c r="A6" s="2" t="s">
        <v>9</v>
      </c>
      <c r="B6" s="2" t="s">
        <v>6</v>
      </c>
      <c r="C6" s="3">
        <v>3</v>
      </c>
      <c r="D6" s="4">
        <v>4</v>
      </c>
      <c r="E6" s="5">
        <v>4701</v>
      </c>
      <c r="F6" s="5">
        <v>4299.5236800000002</v>
      </c>
      <c r="G6" s="5">
        <v>401.47631999999976</v>
      </c>
      <c r="H6" s="5">
        <v>45</v>
      </c>
      <c r="I6" s="5">
        <v>356.47631999999976</v>
      </c>
      <c r="J6" s="5">
        <v>205</v>
      </c>
      <c r="K6" s="5">
        <v>151.47631999999976</v>
      </c>
      <c r="L6" s="5">
        <v>4549.5236800000002</v>
      </c>
    </row>
    <row r="7" spans="1:12" x14ac:dyDescent="0.2">
      <c r="A7" s="2" t="s">
        <v>10</v>
      </c>
      <c r="B7" s="2" t="s">
        <v>6</v>
      </c>
      <c r="C7" s="3">
        <v>4</v>
      </c>
      <c r="D7" s="4">
        <v>4</v>
      </c>
      <c r="E7" s="5">
        <v>6259</v>
      </c>
      <c r="F7" s="5">
        <v>5724.2409600000001</v>
      </c>
      <c r="G7" s="5">
        <v>534.75903999999991</v>
      </c>
      <c r="H7" s="5">
        <v>60</v>
      </c>
      <c r="I7" s="5">
        <v>474.75903999999991</v>
      </c>
      <c r="J7" s="5">
        <v>216</v>
      </c>
      <c r="K7" s="5">
        <v>258.75903999999991</v>
      </c>
      <c r="L7" s="5">
        <v>6000.2409600000001</v>
      </c>
    </row>
    <row r="8" spans="1:12" x14ac:dyDescent="0.2">
      <c r="A8" s="2" t="s">
        <v>11</v>
      </c>
      <c r="B8" s="2" t="s">
        <v>6</v>
      </c>
      <c r="C8" s="3">
        <v>3</v>
      </c>
      <c r="D8" s="4">
        <v>4</v>
      </c>
      <c r="E8" s="5">
        <v>5764</v>
      </c>
      <c r="F8" s="5">
        <v>5037.8340799999996</v>
      </c>
      <c r="G8" s="5">
        <v>726.16592000000037</v>
      </c>
      <c r="H8" s="5">
        <v>45</v>
      </c>
      <c r="I8" s="5">
        <v>681.16592000000037</v>
      </c>
      <c r="J8" s="5">
        <v>317</v>
      </c>
      <c r="K8" s="5">
        <v>364.16592000000037</v>
      </c>
      <c r="L8" s="5">
        <v>5399.8340799999996</v>
      </c>
    </row>
    <row r="9" spans="1:12" x14ac:dyDescent="0.2">
      <c r="A9" s="2" t="s">
        <v>12</v>
      </c>
      <c r="B9" s="2" t="s">
        <v>6</v>
      </c>
      <c r="C9" s="3">
        <v>4</v>
      </c>
      <c r="D9" s="4">
        <v>4</v>
      </c>
      <c r="E9" s="5">
        <v>7679</v>
      </c>
      <c r="F9" s="5">
        <v>6711.0748799999992</v>
      </c>
      <c r="G9" s="5">
        <v>967.92512000000079</v>
      </c>
      <c r="H9" s="5">
        <v>60</v>
      </c>
      <c r="I9" s="5">
        <v>907.92512000000079</v>
      </c>
      <c r="J9" s="5">
        <v>479</v>
      </c>
      <c r="K9" s="5">
        <v>428.92512000000079</v>
      </c>
      <c r="L9" s="5">
        <v>7250.0748799999992</v>
      </c>
    </row>
    <row r="10" spans="1:12" x14ac:dyDescent="0.2">
      <c r="A10" s="2" t="s">
        <v>13</v>
      </c>
      <c r="B10" s="2" t="s">
        <v>6</v>
      </c>
      <c r="C10" s="6">
        <v>4</v>
      </c>
      <c r="D10" s="7">
        <v>4</v>
      </c>
      <c r="E10" s="5">
        <v>9429</v>
      </c>
      <c r="F10" s="5">
        <v>7748.8278399999999</v>
      </c>
      <c r="G10" s="5">
        <v>1680.1721600000001</v>
      </c>
      <c r="H10" s="5">
        <v>60</v>
      </c>
      <c r="I10" s="5">
        <v>1620.1721600000001</v>
      </c>
      <c r="J10" s="5">
        <v>791</v>
      </c>
      <c r="K10" s="5">
        <v>829.17216000000008</v>
      </c>
      <c r="L10" s="5">
        <v>8599.8278399999999</v>
      </c>
    </row>
    <row r="11" spans="1:12" x14ac:dyDescent="0.2">
      <c r="A11" s="2" t="s">
        <v>14</v>
      </c>
      <c r="B11" s="2" t="s">
        <v>6</v>
      </c>
      <c r="C11" s="3">
        <v>3</v>
      </c>
      <c r="D11" s="4">
        <v>4</v>
      </c>
      <c r="E11" s="5">
        <v>7071</v>
      </c>
      <c r="F11" s="5">
        <v>5730.8135999999995</v>
      </c>
      <c r="G11" s="5">
        <v>1340.1864000000005</v>
      </c>
      <c r="H11" s="5">
        <v>45</v>
      </c>
      <c r="I11" s="5">
        <v>1295.1864000000005</v>
      </c>
      <c r="J11" s="5">
        <v>724</v>
      </c>
      <c r="K11" s="5">
        <v>571.1864000000005</v>
      </c>
      <c r="L11" s="5">
        <v>6499.8135999999995</v>
      </c>
    </row>
    <row r="12" spans="1:12" x14ac:dyDescent="0.2">
      <c r="A12" s="2" t="s">
        <v>15</v>
      </c>
      <c r="B12" s="2" t="s">
        <v>6</v>
      </c>
      <c r="C12" s="3">
        <v>4</v>
      </c>
      <c r="D12" s="4">
        <v>4</v>
      </c>
      <c r="E12" s="5">
        <v>8143</v>
      </c>
      <c r="F12" s="5">
        <v>7037.6924799999997</v>
      </c>
      <c r="G12" s="5">
        <v>1105.3075200000003</v>
      </c>
      <c r="H12" s="5">
        <v>60</v>
      </c>
      <c r="I12" s="5">
        <v>1045.3075200000003</v>
      </c>
      <c r="J12" s="5">
        <v>602</v>
      </c>
      <c r="K12" s="5">
        <v>443.3075200000003</v>
      </c>
      <c r="L12" s="5">
        <v>7699.6924799999997</v>
      </c>
    </row>
    <row r="13" spans="1:12" x14ac:dyDescent="0.2">
      <c r="A13" s="2" t="s">
        <v>16</v>
      </c>
      <c r="B13" s="2" t="s">
        <v>17</v>
      </c>
      <c r="C13" s="3">
        <v>3</v>
      </c>
      <c r="D13" s="4">
        <v>4</v>
      </c>
      <c r="E13" s="5">
        <v>4401</v>
      </c>
      <c r="F13" s="5">
        <v>4073.4</v>
      </c>
      <c r="G13" s="5">
        <v>327.59999999999991</v>
      </c>
      <c r="H13" s="5">
        <v>45</v>
      </c>
      <c r="I13" s="5">
        <v>282.59999999999991</v>
      </c>
      <c r="J13" s="5">
        <v>162</v>
      </c>
      <c r="K13" s="5">
        <v>120.60000000000036</v>
      </c>
      <c r="L13" s="5">
        <v>4280.3999999999996</v>
      </c>
    </row>
    <row r="14" spans="1:12" x14ac:dyDescent="0.2">
      <c r="A14" s="2" t="s">
        <v>18</v>
      </c>
      <c r="B14" s="2" t="s">
        <v>17</v>
      </c>
      <c r="C14" s="3">
        <v>4</v>
      </c>
      <c r="D14" s="4">
        <v>4</v>
      </c>
      <c r="E14" s="5">
        <v>5868</v>
      </c>
      <c r="F14" s="5">
        <v>5431.2</v>
      </c>
      <c r="G14" s="5">
        <v>436.80000000000018</v>
      </c>
      <c r="H14" s="5">
        <v>60</v>
      </c>
      <c r="I14" s="5">
        <v>376.80000000000018</v>
      </c>
      <c r="J14" s="5">
        <v>219</v>
      </c>
      <c r="K14" s="5">
        <v>157.80000000000018</v>
      </c>
      <c r="L14" s="5">
        <v>5710.2</v>
      </c>
    </row>
    <row r="15" spans="1:12" x14ac:dyDescent="0.2">
      <c r="A15" s="2" t="s">
        <v>19</v>
      </c>
      <c r="B15" s="2" t="s">
        <v>17</v>
      </c>
      <c r="C15" s="3">
        <v>1</v>
      </c>
      <c r="D15" s="4">
        <v>12</v>
      </c>
      <c r="E15" s="5">
        <v>1146</v>
      </c>
      <c r="F15" s="5">
        <v>1058.4000000000001</v>
      </c>
      <c r="G15" s="5">
        <v>87.599999999999909</v>
      </c>
      <c r="H15" s="5">
        <v>15</v>
      </c>
      <c r="I15" s="5">
        <v>72.599999999999909</v>
      </c>
      <c r="J15" s="5">
        <v>47</v>
      </c>
      <c r="K15" s="5">
        <v>25.599999999999909</v>
      </c>
      <c r="L15" s="5">
        <v>1120.4000000000001</v>
      </c>
    </row>
    <row r="16" spans="1:12" x14ac:dyDescent="0.2">
      <c r="A16" s="2" t="s">
        <v>20</v>
      </c>
      <c r="B16" s="2" t="s">
        <v>17</v>
      </c>
      <c r="C16" s="3">
        <v>3</v>
      </c>
      <c r="D16" s="4">
        <v>4</v>
      </c>
      <c r="E16" s="5">
        <v>3438</v>
      </c>
      <c r="F16" s="5">
        <v>3175.2</v>
      </c>
      <c r="G16" s="5">
        <v>262.80000000000018</v>
      </c>
      <c r="H16" s="5">
        <v>45</v>
      </c>
      <c r="I16" s="5">
        <v>217.80000000000018</v>
      </c>
      <c r="J16" s="5">
        <v>120</v>
      </c>
      <c r="K16" s="5">
        <v>97.800000000000182</v>
      </c>
      <c r="L16" s="5">
        <v>3340.2</v>
      </c>
    </row>
    <row r="17" spans="1:12" x14ac:dyDescent="0.2">
      <c r="A17" s="2" t="s">
        <v>21</v>
      </c>
      <c r="B17" s="2" t="s">
        <v>17</v>
      </c>
      <c r="C17" s="3">
        <v>4</v>
      </c>
      <c r="D17" s="4">
        <v>4</v>
      </c>
      <c r="E17" s="5">
        <v>4584</v>
      </c>
      <c r="F17" s="5">
        <v>4233.6000000000004</v>
      </c>
      <c r="G17" s="5">
        <v>350.39999999999964</v>
      </c>
      <c r="H17" s="5">
        <v>60</v>
      </c>
      <c r="I17" s="5">
        <v>290.39999999999964</v>
      </c>
      <c r="J17" s="5">
        <v>176</v>
      </c>
      <c r="K17" s="5">
        <v>114.39999999999964</v>
      </c>
      <c r="L17" s="5">
        <v>4469.6000000000004</v>
      </c>
    </row>
    <row r="18" spans="1:12" x14ac:dyDescent="0.2">
      <c r="A18" s="2" t="s">
        <v>22</v>
      </c>
      <c r="B18" s="2" t="s">
        <v>17</v>
      </c>
      <c r="C18" s="3">
        <v>3</v>
      </c>
      <c r="D18" s="4">
        <v>4</v>
      </c>
      <c r="E18" s="5">
        <v>4092</v>
      </c>
      <c r="F18" s="5">
        <v>3810</v>
      </c>
      <c r="G18" s="5">
        <v>282</v>
      </c>
      <c r="H18" s="5">
        <v>45</v>
      </c>
      <c r="I18" s="5">
        <v>237</v>
      </c>
      <c r="J18" s="5">
        <v>135</v>
      </c>
      <c r="K18" s="5">
        <v>102</v>
      </c>
      <c r="L18" s="5">
        <v>3990</v>
      </c>
    </row>
    <row r="19" spans="1:12" x14ac:dyDescent="0.2">
      <c r="A19" s="2" t="s">
        <v>23</v>
      </c>
      <c r="B19" s="2" t="s">
        <v>17</v>
      </c>
      <c r="C19" s="3">
        <v>4</v>
      </c>
      <c r="D19" s="4">
        <v>4</v>
      </c>
      <c r="E19" s="5">
        <v>5456</v>
      </c>
      <c r="F19" s="5">
        <v>5080</v>
      </c>
      <c r="G19" s="5">
        <v>376</v>
      </c>
      <c r="H19" s="5">
        <v>60</v>
      </c>
      <c r="I19" s="5">
        <v>316</v>
      </c>
      <c r="J19" s="5">
        <v>190</v>
      </c>
      <c r="K19" s="5">
        <v>126</v>
      </c>
      <c r="L19" s="5">
        <v>5330</v>
      </c>
    </row>
    <row r="20" spans="1:12" x14ac:dyDescent="0.2">
      <c r="A20" s="2" t="s">
        <v>24</v>
      </c>
      <c r="B20" s="2" t="s">
        <v>25</v>
      </c>
      <c r="C20" s="3">
        <v>3</v>
      </c>
      <c r="D20" s="8">
        <v>6</v>
      </c>
      <c r="E20" s="8">
        <f>2531*3</f>
        <v>7593</v>
      </c>
      <c r="F20" s="5">
        <v>6153</v>
      </c>
      <c r="G20" s="5">
        <v>1440</v>
      </c>
      <c r="H20" s="5">
        <v>45</v>
      </c>
      <c r="I20" s="5">
        <v>1395</v>
      </c>
      <c r="J20" s="5">
        <v>802</v>
      </c>
      <c r="K20" s="5">
        <v>593</v>
      </c>
      <c r="L20" s="5">
        <v>7000</v>
      </c>
    </row>
    <row r="21" spans="1:12" x14ac:dyDescent="0.2">
      <c r="A21" s="2" t="s">
        <v>26</v>
      </c>
      <c r="B21" s="2" t="s">
        <v>25</v>
      </c>
      <c r="C21" s="3">
        <v>4</v>
      </c>
      <c r="D21" s="8">
        <v>4</v>
      </c>
      <c r="E21" s="8">
        <f>2530*4</f>
        <v>10120</v>
      </c>
      <c r="F21" s="5">
        <v>8203.2000000000007</v>
      </c>
      <c r="G21" s="5">
        <v>1916.7999999999993</v>
      </c>
      <c r="H21" s="5">
        <v>60</v>
      </c>
      <c r="I21" s="5">
        <v>1856.7999999999993</v>
      </c>
      <c r="J21" s="5">
        <v>1137</v>
      </c>
      <c r="K21" s="5">
        <v>719.79999999999927</v>
      </c>
      <c r="L21" s="5">
        <v>9400.2000000000007</v>
      </c>
    </row>
    <row r="22" spans="1:12" x14ac:dyDescent="0.2">
      <c r="A22" s="2" t="s">
        <v>27</v>
      </c>
      <c r="B22" s="2" t="s">
        <v>25</v>
      </c>
      <c r="C22" s="3">
        <v>3</v>
      </c>
      <c r="D22" s="8">
        <v>6</v>
      </c>
      <c r="E22" s="8">
        <f>2294*3</f>
        <v>6882</v>
      </c>
      <c r="F22" s="5">
        <v>5623.2</v>
      </c>
      <c r="G22" s="5">
        <v>1258.8000000000002</v>
      </c>
      <c r="H22" s="5">
        <v>45</v>
      </c>
      <c r="I22" s="5">
        <v>1213.8000000000002</v>
      </c>
      <c r="J22" s="5">
        <v>732</v>
      </c>
      <c r="K22" s="5">
        <v>481.80000000000018</v>
      </c>
      <c r="L22" s="5">
        <v>6400.2</v>
      </c>
    </row>
    <row r="23" spans="1:12" x14ac:dyDescent="0.2">
      <c r="A23" s="2" t="s">
        <v>28</v>
      </c>
      <c r="B23" s="2" t="s">
        <v>25</v>
      </c>
      <c r="C23" s="3">
        <v>4</v>
      </c>
      <c r="D23" s="8">
        <v>4</v>
      </c>
      <c r="E23" s="8">
        <f>2293*4</f>
        <v>9172</v>
      </c>
      <c r="F23" s="5">
        <v>7496.8</v>
      </c>
      <c r="G23" s="5">
        <v>1675.1999999999998</v>
      </c>
      <c r="H23" s="5">
        <v>60</v>
      </c>
      <c r="I23" s="5">
        <v>1615.1999999999998</v>
      </c>
      <c r="J23" s="5">
        <v>943</v>
      </c>
      <c r="K23" s="5">
        <v>672.20000000000073</v>
      </c>
      <c r="L23" s="5">
        <v>8499.7999999999993</v>
      </c>
    </row>
    <row r="24" spans="1:12" x14ac:dyDescent="0.2">
      <c r="A24" s="2" t="s">
        <v>29</v>
      </c>
      <c r="B24" s="2" t="s">
        <v>25</v>
      </c>
      <c r="C24" s="3">
        <v>3</v>
      </c>
      <c r="D24" s="8">
        <v>6</v>
      </c>
      <c r="E24" s="8">
        <f>2082*3</f>
        <v>6246</v>
      </c>
      <c r="F24" s="5">
        <v>5157.6000000000004</v>
      </c>
      <c r="G24" s="5">
        <v>1088.3999999999996</v>
      </c>
      <c r="H24" s="5">
        <v>45</v>
      </c>
      <c r="I24" s="5">
        <v>1043.3999999999996</v>
      </c>
      <c r="J24" s="5">
        <v>597</v>
      </c>
      <c r="K24" s="5">
        <v>446.39999999999964</v>
      </c>
      <c r="L24" s="5">
        <v>5799.6</v>
      </c>
    </row>
    <row r="25" spans="1:12" x14ac:dyDescent="0.2">
      <c r="A25" s="2" t="s">
        <v>30</v>
      </c>
      <c r="B25" s="2" t="s">
        <v>25</v>
      </c>
      <c r="C25" s="3">
        <v>4</v>
      </c>
      <c r="D25" s="8">
        <v>4</v>
      </c>
      <c r="E25" s="8">
        <f>2082*4</f>
        <v>8328</v>
      </c>
      <c r="F25" s="5">
        <v>6876.8</v>
      </c>
      <c r="G25" s="5">
        <v>1451.1999999999998</v>
      </c>
      <c r="H25" s="5">
        <v>60</v>
      </c>
      <c r="I25" s="5">
        <v>1391.1999999999998</v>
      </c>
      <c r="J25" s="5">
        <v>663</v>
      </c>
      <c r="K25" s="5">
        <v>728.19999999999982</v>
      </c>
      <c r="L25" s="5">
        <v>7599.8</v>
      </c>
    </row>
    <row r="26" spans="1:12" x14ac:dyDescent="0.2">
      <c r="A26" s="2" t="s">
        <v>31</v>
      </c>
      <c r="B26" s="2" t="s">
        <v>25</v>
      </c>
      <c r="C26" s="3">
        <v>3</v>
      </c>
      <c r="D26" s="8">
        <v>6</v>
      </c>
      <c r="E26" s="8">
        <f>1891*3</f>
        <v>5673</v>
      </c>
      <c r="F26" s="5">
        <v>4726.2</v>
      </c>
      <c r="G26" s="5">
        <v>946.80000000000018</v>
      </c>
      <c r="H26" s="5">
        <v>45</v>
      </c>
      <c r="I26" s="5">
        <v>901.80000000000018</v>
      </c>
      <c r="J26" s="5">
        <v>529</v>
      </c>
      <c r="K26" s="5">
        <v>372.80000000000018</v>
      </c>
      <c r="L26" s="5">
        <v>5300.2</v>
      </c>
    </row>
    <row r="27" spans="1:12" x14ac:dyDescent="0.2">
      <c r="A27" s="2" t="s">
        <v>32</v>
      </c>
      <c r="B27" s="2" t="s">
        <v>25</v>
      </c>
      <c r="C27" s="3">
        <v>4</v>
      </c>
      <c r="D27" s="8">
        <v>4</v>
      </c>
      <c r="E27" s="8">
        <f>1891*4</f>
        <v>7564</v>
      </c>
      <c r="F27" s="5">
        <v>6301.6</v>
      </c>
      <c r="G27" s="5">
        <v>1262.3999999999996</v>
      </c>
      <c r="H27" s="5">
        <v>60</v>
      </c>
      <c r="I27" s="5">
        <v>1202.3999999999996</v>
      </c>
      <c r="J27" s="5">
        <v>738</v>
      </c>
      <c r="K27" s="5">
        <v>464.39999999999964</v>
      </c>
      <c r="L27" s="5">
        <v>7099.6</v>
      </c>
    </row>
    <row r="28" spans="1:12" x14ac:dyDescent="0.2">
      <c r="A28" s="9" t="s">
        <v>33</v>
      </c>
      <c r="B28" s="2" t="s">
        <v>34</v>
      </c>
      <c r="C28" s="3">
        <v>4</v>
      </c>
      <c r="D28" s="4">
        <v>4</v>
      </c>
      <c r="E28" s="8">
        <v>7045</v>
      </c>
      <c r="F28" s="5">
        <v>5945.1440000000002</v>
      </c>
      <c r="G28" s="5">
        <v>1099.8559999999998</v>
      </c>
      <c r="H28" s="5">
        <v>60</v>
      </c>
      <c r="I28" s="5">
        <v>1039.8559999999998</v>
      </c>
      <c r="J28" s="5">
        <v>595</v>
      </c>
      <c r="K28" s="5">
        <v>444.85599999999977</v>
      </c>
      <c r="L28" s="5">
        <v>6600.1440000000002</v>
      </c>
    </row>
    <row r="29" spans="1:12" x14ac:dyDescent="0.2">
      <c r="A29" s="10" t="s">
        <v>35</v>
      </c>
      <c r="B29" s="2" t="s">
        <v>34</v>
      </c>
      <c r="C29" s="3">
        <v>3</v>
      </c>
      <c r="D29" s="4">
        <v>6</v>
      </c>
      <c r="E29" s="8">
        <v>5400</v>
      </c>
      <c r="F29" s="5">
        <v>4312.5519999999997</v>
      </c>
      <c r="G29" s="5">
        <v>1087.4480000000003</v>
      </c>
      <c r="H29" s="5">
        <v>45</v>
      </c>
      <c r="I29" s="5">
        <v>1042.4480000000003</v>
      </c>
      <c r="J29" s="5">
        <v>642</v>
      </c>
      <c r="K29" s="5">
        <v>400.44800000000032</v>
      </c>
      <c r="L29" s="5">
        <v>4999.5519999999997</v>
      </c>
    </row>
    <row r="30" spans="1:12" x14ac:dyDescent="0.2">
      <c r="A30" s="10" t="s">
        <v>36</v>
      </c>
      <c r="B30" s="2" t="s">
        <v>34</v>
      </c>
      <c r="C30" s="3">
        <v>4</v>
      </c>
      <c r="D30" s="4">
        <v>4</v>
      </c>
      <c r="E30" s="8">
        <v>7160</v>
      </c>
      <c r="F30" s="5">
        <v>5718.2719999999999</v>
      </c>
      <c r="G30" s="5">
        <v>1441.7280000000001</v>
      </c>
      <c r="H30" s="5">
        <v>60</v>
      </c>
      <c r="I30" s="5">
        <v>1381.7280000000001</v>
      </c>
      <c r="J30" s="5">
        <v>822</v>
      </c>
      <c r="K30" s="5">
        <v>559.72800000000007</v>
      </c>
      <c r="L30" s="5">
        <v>6600.2719999999999</v>
      </c>
    </row>
    <row r="31" spans="1:12" x14ac:dyDescent="0.2">
      <c r="A31" s="10" t="s">
        <v>37</v>
      </c>
      <c r="B31" s="2" t="s">
        <v>34</v>
      </c>
      <c r="C31" s="3">
        <v>4</v>
      </c>
      <c r="D31" s="4">
        <v>4</v>
      </c>
      <c r="E31" s="8">
        <v>9059</v>
      </c>
      <c r="F31" s="5">
        <v>7545.3119999999999</v>
      </c>
      <c r="G31" s="5">
        <v>1513.6880000000001</v>
      </c>
      <c r="H31" s="5">
        <v>60</v>
      </c>
      <c r="I31" s="5">
        <v>1453.6880000000001</v>
      </c>
      <c r="J31" s="5">
        <v>895</v>
      </c>
      <c r="K31" s="5">
        <v>558.6880000000001</v>
      </c>
      <c r="L31" s="5">
        <v>8500.3119999999999</v>
      </c>
    </row>
    <row r="32" spans="1:12" x14ac:dyDescent="0.2">
      <c r="A32" s="10" t="s">
        <v>38</v>
      </c>
      <c r="B32" s="2" t="s">
        <v>34</v>
      </c>
      <c r="C32" s="3">
        <v>4</v>
      </c>
      <c r="D32" s="4">
        <v>4</v>
      </c>
      <c r="E32" s="8">
        <v>7915</v>
      </c>
      <c r="F32" s="5">
        <v>6635.96</v>
      </c>
      <c r="G32" s="5">
        <v>1279.04</v>
      </c>
      <c r="H32" s="5">
        <v>60</v>
      </c>
      <c r="I32" s="5">
        <v>1219.04</v>
      </c>
      <c r="J32" s="5">
        <v>704</v>
      </c>
      <c r="K32" s="5">
        <v>515.04</v>
      </c>
      <c r="L32" s="5">
        <v>7399.96</v>
      </c>
    </row>
    <row r="33" spans="1:12" x14ac:dyDescent="0.2">
      <c r="A33" s="15" t="s">
        <v>77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x14ac:dyDescent="0.2">
      <c r="A34" s="2" t="s">
        <v>39</v>
      </c>
      <c r="B34" s="2" t="s">
        <v>6</v>
      </c>
      <c r="C34" s="3">
        <v>0.7</v>
      </c>
      <c r="D34" s="4">
        <v>12</v>
      </c>
      <c r="E34" s="5">
        <v>551</v>
      </c>
      <c r="F34" s="5">
        <v>534.04447999999991</v>
      </c>
      <c r="G34" s="5">
        <v>16.955520000000092</v>
      </c>
      <c r="H34" s="5">
        <v>0</v>
      </c>
      <c r="I34" s="5">
        <v>16.955520000000092</v>
      </c>
      <c r="J34" s="5">
        <v>6</v>
      </c>
      <c r="K34" s="5">
        <v>10.955520000000092</v>
      </c>
      <c r="L34" s="5">
        <v>540.04447999999991</v>
      </c>
    </row>
    <row r="35" spans="1:12" x14ac:dyDescent="0.2">
      <c r="A35" s="2" t="s">
        <v>40</v>
      </c>
      <c r="B35" s="2" t="s">
        <v>6</v>
      </c>
      <c r="C35" s="3">
        <v>0.7</v>
      </c>
      <c r="D35" s="4">
        <v>12</v>
      </c>
      <c r="E35" s="5">
        <v>649</v>
      </c>
      <c r="F35" s="5">
        <v>589.6</v>
      </c>
      <c r="G35" s="5">
        <v>59.399999999999977</v>
      </c>
      <c r="H35" s="5">
        <v>10.5</v>
      </c>
      <c r="I35" s="5">
        <v>48.899999999999977</v>
      </c>
      <c r="J35" s="5">
        <v>20</v>
      </c>
      <c r="K35" s="5">
        <v>28.899999999999977</v>
      </c>
      <c r="L35" s="5">
        <v>620.1</v>
      </c>
    </row>
    <row r="36" spans="1:12" x14ac:dyDescent="0.2">
      <c r="A36" s="2" t="s">
        <v>41</v>
      </c>
      <c r="B36" s="2" t="s">
        <v>6</v>
      </c>
      <c r="C36" s="3">
        <v>1</v>
      </c>
      <c r="D36" s="4">
        <v>12</v>
      </c>
      <c r="E36" s="5">
        <v>909</v>
      </c>
      <c r="F36" s="5">
        <v>825.4</v>
      </c>
      <c r="G36" s="5">
        <v>83.600000000000023</v>
      </c>
      <c r="H36" s="5">
        <v>15</v>
      </c>
      <c r="I36" s="5">
        <v>68.600000000000023</v>
      </c>
      <c r="J36" s="5">
        <v>30</v>
      </c>
      <c r="K36" s="5">
        <v>38.600000000000023</v>
      </c>
      <c r="L36" s="5">
        <v>870.4</v>
      </c>
    </row>
    <row r="37" spans="1:12" x14ac:dyDescent="0.2">
      <c r="A37" s="2" t="s">
        <v>42</v>
      </c>
      <c r="B37" s="2" t="s">
        <v>6</v>
      </c>
      <c r="C37" s="3">
        <v>1</v>
      </c>
      <c r="D37" s="4">
        <v>12</v>
      </c>
      <c r="E37" s="5">
        <v>937</v>
      </c>
      <c r="F37" s="5">
        <v>895.8</v>
      </c>
      <c r="G37" s="5">
        <v>41.200000000000045</v>
      </c>
      <c r="H37" s="5">
        <v>15</v>
      </c>
      <c r="I37" s="5">
        <v>26.200000000000045</v>
      </c>
      <c r="J37" s="5">
        <v>9</v>
      </c>
      <c r="K37" s="5">
        <v>17.200000000000045</v>
      </c>
      <c r="L37" s="5">
        <v>919.8</v>
      </c>
    </row>
    <row r="38" spans="1:12" x14ac:dyDescent="0.2">
      <c r="A38" s="2" t="s">
        <v>43</v>
      </c>
      <c r="B38" s="2" t="s">
        <v>17</v>
      </c>
      <c r="C38" s="3">
        <v>0.7</v>
      </c>
      <c r="D38" s="4">
        <v>12</v>
      </c>
      <c r="E38" s="5">
        <v>774</v>
      </c>
      <c r="F38" s="5">
        <v>713</v>
      </c>
      <c r="G38" s="5">
        <v>61</v>
      </c>
      <c r="H38" s="5">
        <v>10.5</v>
      </c>
      <c r="I38" s="5">
        <v>50.5</v>
      </c>
      <c r="J38" s="5">
        <v>26</v>
      </c>
      <c r="K38" s="5">
        <v>24.5</v>
      </c>
      <c r="L38" s="5">
        <v>749.5</v>
      </c>
    </row>
    <row r="39" spans="1:12" x14ac:dyDescent="0.2">
      <c r="A39" s="2" t="s">
        <v>44</v>
      </c>
      <c r="B39" s="2" t="s">
        <v>17</v>
      </c>
      <c r="C39" s="3">
        <v>1</v>
      </c>
      <c r="D39" s="4">
        <v>12</v>
      </c>
      <c r="E39" s="5">
        <v>1089</v>
      </c>
      <c r="F39" s="5">
        <v>1004.6</v>
      </c>
      <c r="G39" s="5">
        <v>84.399999999999977</v>
      </c>
      <c r="H39" s="5">
        <v>15</v>
      </c>
      <c r="I39" s="5">
        <v>69.399999999999977</v>
      </c>
      <c r="J39" s="5">
        <v>30</v>
      </c>
      <c r="K39" s="5">
        <v>39.400000000000091</v>
      </c>
      <c r="L39" s="5">
        <v>1049.5999999999999</v>
      </c>
    </row>
    <row r="40" spans="1:12" x14ac:dyDescent="0.2">
      <c r="A40" s="2" t="s">
        <v>45</v>
      </c>
      <c r="B40" s="2" t="s">
        <v>17</v>
      </c>
      <c r="C40" s="3">
        <v>0.7</v>
      </c>
      <c r="D40" s="4">
        <v>12</v>
      </c>
      <c r="E40" s="5">
        <v>657</v>
      </c>
      <c r="F40" s="5">
        <v>600</v>
      </c>
      <c r="G40" s="5">
        <v>57</v>
      </c>
      <c r="H40" s="5">
        <v>11</v>
      </c>
      <c r="I40" s="5">
        <v>46</v>
      </c>
      <c r="J40" s="5">
        <v>39</v>
      </c>
      <c r="K40" s="5">
        <v>7</v>
      </c>
      <c r="L40" s="5">
        <v>650</v>
      </c>
    </row>
    <row r="41" spans="1:12" x14ac:dyDescent="0.2">
      <c r="A41" s="2" t="s">
        <v>46</v>
      </c>
      <c r="B41" s="2" t="s">
        <v>17</v>
      </c>
      <c r="C41" s="3">
        <v>1</v>
      </c>
      <c r="D41" s="4">
        <v>12</v>
      </c>
      <c r="E41" s="5">
        <v>921</v>
      </c>
      <c r="F41" s="5">
        <v>840.6</v>
      </c>
      <c r="G41" s="5">
        <v>80.399999999999977</v>
      </c>
      <c r="H41" s="5">
        <v>15</v>
      </c>
      <c r="I41" s="5">
        <v>65.399999999999977</v>
      </c>
      <c r="J41" s="5">
        <v>44</v>
      </c>
      <c r="K41" s="5">
        <v>21.399999999999977</v>
      </c>
      <c r="L41" s="5">
        <v>899.6</v>
      </c>
    </row>
    <row r="42" spans="1:12" x14ac:dyDescent="0.2">
      <c r="A42" s="2" t="s">
        <v>47</v>
      </c>
      <c r="B42" s="2" t="s">
        <v>48</v>
      </c>
      <c r="C42" s="3">
        <v>0.7</v>
      </c>
      <c r="D42" s="4">
        <v>12</v>
      </c>
      <c r="E42" s="5">
        <v>555</v>
      </c>
      <c r="F42" s="5">
        <v>544.4</v>
      </c>
      <c r="G42" s="5">
        <v>10.600000000000023</v>
      </c>
      <c r="H42" s="5">
        <v>0</v>
      </c>
      <c r="I42" s="5">
        <v>11</v>
      </c>
      <c r="J42" s="5">
        <v>11</v>
      </c>
      <c r="K42" s="5">
        <v>0</v>
      </c>
      <c r="L42" s="5">
        <v>555</v>
      </c>
    </row>
    <row r="43" spans="1:12" x14ac:dyDescent="0.2">
      <c r="A43" s="15" t="s">
        <v>78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x14ac:dyDescent="0.2">
      <c r="A44" s="2" t="s">
        <v>49</v>
      </c>
      <c r="B44" s="2" t="s">
        <v>6</v>
      </c>
      <c r="C44" s="3">
        <v>1</v>
      </c>
      <c r="D44" s="4">
        <v>12</v>
      </c>
      <c r="E44" s="5">
        <v>953</v>
      </c>
      <c r="F44" s="5">
        <v>879.67920000000004</v>
      </c>
      <c r="G44" s="5">
        <v>73.320799999999963</v>
      </c>
      <c r="H44" s="5">
        <v>15</v>
      </c>
      <c r="I44" s="5">
        <v>58.320799999999963</v>
      </c>
      <c r="J44" s="5">
        <v>25</v>
      </c>
      <c r="K44" s="5">
        <v>33.320799999999963</v>
      </c>
      <c r="L44" s="5">
        <v>919.67920000000004</v>
      </c>
    </row>
    <row r="45" spans="1:12" x14ac:dyDescent="0.2">
      <c r="A45" s="2" t="s">
        <v>50</v>
      </c>
      <c r="B45" s="2" t="s">
        <v>6</v>
      </c>
      <c r="C45" s="3">
        <v>4</v>
      </c>
      <c r="D45" s="4">
        <v>4</v>
      </c>
      <c r="E45" s="5">
        <v>3708</v>
      </c>
      <c r="F45" s="5">
        <v>3421.3446399999998</v>
      </c>
      <c r="G45" s="5">
        <v>286.6553600000002</v>
      </c>
      <c r="H45" s="5">
        <v>60</v>
      </c>
      <c r="I45" s="5">
        <v>226.6553600000002</v>
      </c>
      <c r="J45" s="5">
        <v>89</v>
      </c>
      <c r="K45" s="5">
        <v>137.6553600000002</v>
      </c>
      <c r="L45" s="5">
        <v>3570.3446399999998</v>
      </c>
    </row>
    <row r="46" spans="1:12" x14ac:dyDescent="0.2">
      <c r="A46" s="2" t="s">
        <v>51</v>
      </c>
      <c r="B46" s="2" t="s">
        <v>6</v>
      </c>
      <c r="C46" s="3">
        <v>10</v>
      </c>
      <c r="D46" s="4">
        <v>2</v>
      </c>
      <c r="E46" s="5">
        <v>9261</v>
      </c>
      <c r="F46" s="5">
        <v>8544.0064000000002</v>
      </c>
      <c r="G46" s="5">
        <v>716.99359999999979</v>
      </c>
      <c r="H46" s="5">
        <v>150</v>
      </c>
      <c r="I46" s="5">
        <v>566.99359999999979</v>
      </c>
      <c r="J46" s="5">
        <v>216</v>
      </c>
      <c r="K46" s="5">
        <v>350.99359999999979</v>
      </c>
      <c r="L46" s="5">
        <v>8910.0064000000002</v>
      </c>
    </row>
    <row r="47" spans="1:12" x14ac:dyDescent="0.2">
      <c r="A47" s="2" t="s">
        <v>52</v>
      </c>
      <c r="B47" s="2" t="s">
        <v>6</v>
      </c>
      <c r="C47" s="3">
        <v>1</v>
      </c>
      <c r="D47" s="4">
        <v>12</v>
      </c>
      <c r="E47" s="5">
        <v>1063</v>
      </c>
      <c r="F47" s="5">
        <v>981.87087999999994</v>
      </c>
      <c r="G47" s="5">
        <v>81.129120000000057</v>
      </c>
      <c r="H47" s="5">
        <v>15</v>
      </c>
      <c r="I47" s="5">
        <v>66.129120000000057</v>
      </c>
      <c r="J47" s="5">
        <v>23</v>
      </c>
      <c r="K47" s="5">
        <v>43.129120000000057</v>
      </c>
      <c r="L47" s="5">
        <v>1019.8708799999999</v>
      </c>
    </row>
    <row r="48" spans="1:12" x14ac:dyDescent="0.2">
      <c r="A48" s="2" t="s">
        <v>53</v>
      </c>
      <c r="B48" s="2" t="s">
        <v>6</v>
      </c>
      <c r="C48" s="3">
        <v>4</v>
      </c>
      <c r="D48" s="4">
        <v>4</v>
      </c>
      <c r="E48" s="5">
        <v>4142</v>
      </c>
      <c r="F48" s="5">
        <v>3821.2812800000002</v>
      </c>
      <c r="G48" s="5">
        <v>320.71871999999985</v>
      </c>
      <c r="H48" s="5">
        <v>60</v>
      </c>
      <c r="I48" s="5">
        <v>260.71871999999985</v>
      </c>
      <c r="J48" s="5">
        <v>109</v>
      </c>
      <c r="K48" s="5">
        <v>151.71871999999985</v>
      </c>
      <c r="L48" s="5">
        <v>3990.2812800000002</v>
      </c>
    </row>
    <row r="49" spans="1:12" x14ac:dyDescent="0.2">
      <c r="A49" s="2" t="s">
        <v>54</v>
      </c>
      <c r="B49" s="2" t="s">
        <v>6</v>
      </c>
      <c r="C49" s="3">
        <v>10</v>
      </c>
      <c r="D49" s="4">
        <v>2</v>
      </c>
      <c r="E49" s="5">
        <v>10330</v>
      </c>
      <c r="F49" s="5">
        <v>9529.1280000000006</v>
      </c>
      <c r="G49" s="5">
        <v>800.87199999999939</v>
      </c>
      <c r="H49" s="5">
        <v>150</v>
      </c>
      <c r="I49" s="5">
        <v>650.87199999999939</v>
      </c>
      <c r="J49" s="5">
        <v>271</v>
      </c>
      <c r="K49" s="5">
        <v>379.87199999999939</v>
      </c>
      <c r="L49" s="5">
        <v>9950.1280000000006</v>
      </c>
    </row>
    <row r="50" spans="1:12" x14ac:dyDescent="0.2">
      <c r="A50" s="2" t="s">
        <v>55</v>
      </c>
      <c r="B50" s="2" t="s">
        <v>17</v>
      </c>
      <c r="C50" s="3">
        <v>4</v>
      </c>
      <c r="D50" s="4">
        <v>4</v>
      </c>
      <c r="E50" s="4">
        <v>5184</v>
      </c>
      <c r="F50" s="5">
        <v>4801.6000000000004</v>
      </c>
      <c r="G50" s="5">
        <v>382.39999999999964</v>
      </c>
      <c r="H50" s="5">
        <v>60</v>
      </c>
      <c r="I50" s="5">
        <v>322.39999999999964</v>
      </c>
      <c r="J50" s="5">
        <v>188</v>
      </c>
      <c r="K50" s="5">
        <v>134.39999999999964</v>
      </c>
      <c r="L50" s="5">
        <v>5049.6000000000004</v>
      </c>
    </row>
    <row r="51" spans="1:12" x14ac:dyDescent="0.2">
      <c r="A51" s="2" t="s">
        <v>56</v>
      </c>
      <c r="B51" s="2" t="s">
        <v>17</v>
      </c>
      <c r="C51" s="3">
        <v>10</v>
      </c>
      <c r="D51" s="4">
        <v>2</v>
      </c>
      <c r="E51" s="4">
        <v>12960</v>
      </c>
      <c r="F51" s="5">
        <v>12004</v>
      </c>
      <c r="G51" s="5">
        <v>956</v>
      </c>
      <c r="H51" s="5">
        <v>150</v>
      </c>
      <c r="I51" s="5">
        <v>806</v>
      </c>
      <c r="J51" s="5">
        <v>496</v>
      </c>
      <c r="K51" s="5">
        <v>310</v>
      </c>
      <c r="L51" s="5">
        <v>12650</v>
      </c>
    </row>
    <row r="52" spans="1:12" x14ac:dyDescent="0.2">
      <c r="A52" s="2" t="s">
        <v>57</v>
      </c>
      <c r="B52" s="2" t="s">
        <v>17</v>
      </c>
      <c r="C52" s="3">
        <v>4</v>
      </c>
      <c r="D52" s="4">
        <v>4</v>
      </c>
      <c r="E52" s="4">
        <v>4200</v>
      </c>
      <c r="F52" s="5">
        <v>3878.4</v>
      </c>
      <c r="G52" s="5">
        <v>321.59999999999991</v>
      </c>
      <c r="H52" s="5">
        <v>60</v>
      </c>
      <c r="I52" s="5">
        <v>261.59999999999991</v>
      </c>
      <c r="J52" s="5">
        <v>162</v>
      </c>
      <c r="K52" s="5">
        <v>99.600000000000364</v>
      </c>
      <c r="L52" s="5">
        <v>4100.3999999999996</v>
      </c>
    </row>
    <row r="53" spans="1:12" x14ac:dyDescent="0.2">
      <c r="A53" s="2" t="s">
        <v>58</v>
      </c>
      <c r="B53" s="2" t="s">
        <v>17</v>
      </c>
      <c r="C53" s="3">
        <v>10</v>
      </c>
      <c r="D53" s="4">
        <v>2</v>
      </c>
      <c r="E53" s="4">
        <v>10500</v>
      </c>
      <c r="F53" s="5">
        <v>9696</v>
      </c>
      <c r="G53" s="5">
        <v>804</v>
      </c>
      <c r="H53" s="5">
        <v>150</v>
      </c>
      <c r="I53" s="5">
        <v>654</v>
      </c>
      <c r="J53" s="5">
        <v>374</v>
      </c>
      <c r="K53" s="5">
        <v>280</v>
      </c>
      <c r="L53" s="5">
        <v>10220</v>
      </c>
    </row>
    <row r="54" spans="1:12" x14ac:dyDescent="0.2">
      <c r="A54" s="2" t="s">
        <v>59</v>
      </c>
      <c r="B54" s="2" t="s">
        <v>17</v>
      </c>
      <c r="C54" s="3">
        <v>4</v>
      </c>
      <c r="D54" s="4">
        <v>4</v>
      </c>
      <c r="E54" s="4">
        <v>3984</v>
      </c>
      <c r="F54" s="5">
        <v>3716.8</v>
      </c>
      <c r="G54" s="5">
        <v>267.19999999999982</v>
      </c>
      <c r="H54" s="5">
        <v>60</v>
      </c>
      <c r="I54" s="5">
        <v>207.19999999999982</v>
      </c>
      <c r="J54" s="5">
        <v>123</v>
      </c>
      <c r="K54" s="5">
        <v>84.199999999999818</v>
      </c>
      <c r="L54" s="5">
        <v>3899.8</v>
      </c>
    </row>
    <row r="55" spans="1:12" x14ac:dyDescent="0.2">
      <c r="A55" s="2" t="s">
        <v>60</v>
      </c>
      <c r="B55" s="2" t="s">
        <v>17</v>
      </c>
      <c r="C55" s="3">
        <v>10</v>
      </c>
      <c r="D55" s="4">
        <v>2</v>
      </c>
      <c r="E55" s="4">
        <v>9960</v>
      </c>
      <c r="F55" s="5">
        <v>9292</v>
      </c>
      <c r="G55" s="5">
        <v>668</v>
      </c>
      <c r="H55" s="5">
        <v>150</v>
      </c>
      <c r="I55" s="5">
        <v>518</v>
      </c>
      <c r="J55" s="5">
        <v>358</v>
      </c>
      <c r="K55" s="5">
        <v>160</v>
      </c>
      <c r="L55" s="5">
        <v>9800</v>
      </c>
    </row>
    <row r="56" spans="1:12" x14ac:dyDescent="0.2">
      <c r="A56" s="2" t="s">
        <v>61</v>
      </c>
      <c r="B56" s="2" t="s">
        <v>17</v>
      </c>
      <c r="C56" s="3">
        <v>4</v>
      </c>
      <c r="D56" s="4">
        <v>4</v>
      </c>
      <c r="E56" s="4">
        <v>6364</v>
      </c>
      <c r="F56" s="5">
        <v>5885.6</v>
      </c>
      <c r="G56" s="5">
        <v>478.39999999999964</v>
      </c>
      <c r="H56" s="5">
        <v>60</v>
      </c>
      <c r="I56" s="5">
        <v>418.39999999999964</v>
      </c>
      <c r="J56" s="5">
        <v>254</v>
      </c>
      <c r="K56" s="5">
        <v>164.39999999999964</v>
      </c>
      <c r="L56" s="5">
        <v>6199.6</v>
      </c>
    </row>
    <row r="57" spans="1:12" x14ac:dyDescent="0.2">
      <c r="A57" s="2" t="s">
        <v>62</v>
      </c>
      <c r="B57" s="2" t="s">
        <v>17</v>
      </c>
      <c r="C57" s="3">
        <v>10</v>
      </c>
      <c r="D57" s="4">
        <v>2</v>
      </c>
      <c r="E57" s="4">
        <v>15910</v>
      </c>
      <c r="F57" s="5">
        <v>14714</v>
      </c>
      <c r="G57" s="5">
        <v>1196</v>
      </c>
      <c r="H57" s="5">
        <v>150</v>
      </c>
      <c r="I57" s="5">
        <v>1046</v>
      </c>
      <c r="J57" s="5">
        <v>636</v>
      </c>
      <c r="K57" s="5">
        <v>410</v>
      </c>
      <c r="L57" s="5">
        <v>15500</v>
      </c>
    </row>
    <row r="58" spans="1:12" x14ac:dyDescent="0.2">
      <c r="A58" s="10" t="s">
        <v>63</v>
      </c>
      <c r="B58" s="2" t="s">
        <v>34</v>
      </c>
      <c r="C58" s="3">
        <v>3</v>
      </c>
      <c r="D58" s="4">
        <v>6</v>
      </c>
      <c r="E58" s="5">
        <v>5210</v>
      </c>
      <c r="F58" s="5">
        <v>4273.7759999999998</v>
      </c>
      <c r="G58" s="5">
        <v>936.22400000000016</v>
      </c>
      <c r="H58" s="5">
        <v>45</v>
      </c>
      <c r="I58" s="5">
        <v>891.22400000000016</v>
      </c>
      <c r="J58" s="5">
        <v>531</v>
      </c>
      <c r="K58" s="5">
        <v>360.22400000000016</v>
      </c>
      <c r="L58" s="5">
        <v>4849.7759999999998</v>
      </c>
    </row>
    <row r="59" spans="1:12" x14ac:dyDescent="0.2">
      <c r="A59" s="10" t="s">
        <v>64</v>
      </c>
      <c r="B59" s="2" t="s">
        <v>34</v>
      </c>
      <c r="C59" s="3">
        <v>4</v>
      </c>
      <c r="D59" s="4">
        <v>4</v>
      </c>
      <c r="E59" s="5">
        <v>6840</v>
      </c>
      <c r="F59" s="5">
        <v>5611.5919999999996</v>
      </c>
      <c r="G59" s="5">
        <v>1228.4080000000004</v>
      </c>
      <c r="H59" s="5">
        <v>60</v>
      </c>
      <c r="I59" s="5">
        <v>1168.4080000000004</v>
      </c>
      <c r="J59" s="5">
        <v>678</v>
      </c>
      <c r="K59" s="5">
        <v>490.40800000000036</v>
      </c>
      <c r="L59" s="5">
        <v>6349.5919999999996</v>
      </c>
    </row>
    <row r="60" spans="1:12" x14ac:dyDescent="0.2">
      <c r="A60" s="11" t="s">
        <v>65</v>
      </c>
      <c r="B60" s="11" t="s">
        <v>66</v>
      </c>
      <c r="C60" s="3">
        <v>200</v>
      </c>
      <c r="D60" s="4">
        <v>1</v>
      </c>
      <c r="E60" s="4">
        <v>90000</v>
      </c>
      <c r="F60" s="5">
        <v>75000</v>
      </c>
      <c r="G60" s="5">
        <v>15000</v>
      </c>
      <c r="H60" s="5">
        <v>0</v>
      </c>
      <c r="I60" s="5">
        <v>15000</v>
      </c>
      <c r="J60" s="5">
        <v>15000</v>
      </c>
      <c r="K60" s="5" t="s">
        <v>74</v>
      </c>
      <c r="L60" s="5" t="s">
        <v>75</v>
      </c>
    </row>
    <row r="64" spans="1:12" x14ac:dyDescent="0.2">
      <c r="C64" s="14"/>
    </row>
    <row r="65" spans="3:3" x14ac:dyDescent="0.2">
      <c r="C65" s="14"/>
    </row>
    <row r="66" spans="3:3" x14ac:dyDescent="0.2">
      <c r="C66" s="13"/>
    </row>
    <row r="67" spans="3:3" x14ac:dyDescent="0.2">
      <c r="C67" s="13"/>
    </row>
  </sheetData>
  <mergeCells count="3">
    <mergeCell ref="A2:L2"/>
    <mergeCell ref="A33:L33"/>
    <mergeCell ref="A43:L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Murtaza Zulfiqar Ali</dc:creator>
  <cp:lastModifiedBy>Murtaza Zulfiqar Ali</cp:lastModifiedBy>
  <dcterms:created xsi:type="dcterms:W3CDTF">2023-08-31T06:11:13Z</dcterms:created>
  <dcterms:modified xsi:type="dcterms:W3CDTF">2023-08-31T06:15:00Z</dcterms:modified>
</cp:coreProperties>
</file>